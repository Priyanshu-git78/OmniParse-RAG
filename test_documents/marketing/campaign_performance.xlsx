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Campaign Channel</t>
        </is>
      </c>
      <c r="B1" s="1" t="inlineStr">
        <is>
          <t>Ad Spend ($)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CPL ($)</t>
        </is>
      </c>
      <c r="G1" s="1" t="inlineStr">
        <is>
          <t>CAC ($)</t>
        </is>
      </c>
      <c r="H1" s="1" t="inlineStr">
        <is>
          <t>ROI %</t>
        </is>
      </c>
    </row>
    <row r="2" ht="20" customHeight="1">
      <c r="A2" s="2" t="inlineStr">
        <is>
          <t>SEO &amp; Content Marketing</t>
        </is>
      </c>
      <c r="B2" s="3" t="n">
        <v>25000</v>
      </c>
      <c r="C2" s="4" t="n">
        <v>850000</v>
      </c>
      <c r="D2" s="4" t="n">
        <v>45000</v>
      </c>
      <c r="E2" s="4" t="n">
        <v>1200</v>
      </c>
      <c r="F2" s="2">
        <f>B2/E2</f>
        <v/>
      </c>
      <c r="G2" s="2">
        <f>B2/(E2*0.25)</f>
        <v/>
      </c>
      <c r="H2" s="5" t="n">
        <v>3.5</v>
      </c>
    </row>
    <row r="3" ht="20" customHeight="1">
      <c r="A3" s="2" t="inlineStr">
        <is>
          <t>Paid Google Search</t>
        </is>
      </c>
      <c r="B3" s="3" t="n">
        <v>85000</v>
      </c>
      <c r="C3" s="4" t="n">
        <v>620000</v>
      </c>
      <c r="D3" s="4" t="n">
        <v>55000</v>
      </c>
      <c r="E3" s="4" t="n">
        <v>950</v>
      </c>
      <c r="F3" s="2">
        <f>B3/E3</f>
        <v/>
      </c>
      <c r="G3" s="2">
        <f>B3/(E3*0.35)</f>
        <v/>
      </c>
      <c r="H3" s="5" t="n">
        <v>1.8</v>
      </c>
    </row>
    <row r="4" ht="20" customHeight="1">
      <c r="A4" s="2" t="inlineStr">
        <is>
          <t>LinkedIn Enterprise Ads</t>
        </is>
      </c>
      <c r="B4" s="3" t="n">
        <v>110000</v>
      </c>
      <c r="C4" s="4" t="n">
        <v>250000</v>
      </c>
      <c r="D4" s="4" t="n">
        <v>12500</v>
      </c>
      <c r="E4" s="4" t="n">
        <v>450</v>
      </c>
      <c r="F4" s="2">
        <f>B4/E4</f>
        <v/>
      </c>
      <c r="G4" s="2">
        <f>B4/(E4*0.45)</f>
        <v/>
      </c>
      <c r="H4" s="5" t="n">
        <v>2.1</v>
      </c>
    </row>
    <row r="5" ht="20" customHeight="1">
      <c r="A5" s="2" t="inlineStr">
        <is>
          <t>Meta Social Retargeting</t>
        </is>
      </c>
      <c r="B5" s="3" t="n">
        <v>45000</v>
      </c>
      <c r="C5" s="4" t="n">
        <v>980000</v>
      </c>
      <c r="D5" s="4" t="n">
        <v>32000</v>
      </c>
      <c r="E5" s="4" t="n">
        <v>800</v>
      </c>
      <c r="F5" s="2">
        <f>B5/E5</f>
        <v/>
      </c>
      <c r="G5" s="2">
        <f>B5/(E5*0.15)</f>
        <v/>
      </c>
      <c r="H5" s="5" t="n">
        <v>1.25</v>
      </c>
    </row>
    <row r="6" ht="20" customHeight="1">
      <c r="A6" s="2" t="inlineStr">
        <is>
          <t>Webinar Series Integrations</t>
        </is>
      </c>
      <c r="B6" s="3" t="n">
        <v>18000</v>
      </c>
      <c r="C6" s="4" t="n">
        <v>45000</v>
      </c>
      <c r="D6" s="4" t="n">
        <v>3800</v>
      </c>
      <c r="E6" s="4" t="n">
        <v>310</v>
      </c>
      <c r="F6" s="2">
        <f>B6/E6</f>
        <v/>
      </c>
      <c r="G6" s="2">
        <f>B6/(E6*0.50)</f>
        <v/>
      </c>
      <c r="H6" s="5" t="n">
        <v>4.2</v>
      </c>
    </row>
    <row r="7" ht="20" customHeight="1">
      <c r="A7" s="6" t="inlineStr">
        <is>
          <t>Total/Average Summary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AVERAGE(F2:F6)</f>
        <v/>
      </c>
      <c r="G7" s="6">
        <f>AVERAGE(G2:G6)</f>
        <v/>
      </c>
      <c r="H7" s="6">
        <f>AVERAGE(H2:H6)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2026-07-02T19:11:27Z</dcterms:created>
  <dcterms:modified xmlns:dcterms="http://purl.org/dc/terms/" xmlns:xsi="http://www.w3.org/2001/XMLSchema-instance" xsi:type="dcterms:W3CDTF">2026-07-02T19:11:27Z</dcterms:modified>
</cp:coreProperties>
</file>