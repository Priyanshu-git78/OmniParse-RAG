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OPEX Details" sheetId="2" state="visible" r:id="rId2"/>
    <sheet xmlns:r="http://schemas.openxmlformats.org/officeDocument/2006/relationships" name="CAPEX &amp; Marg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5" customHeight="1">
      <c r="A1" s="1" t="inlineStr">
        <is>
          <t>Category</t>
        </is>
      </c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Q4 2025</t>
        </is>
      </c>
      <c r="F1" s="1" t="inlineStr">
        <is>
          <t>Total Revenue</t>
        </is>
      </c>
    </row>
    <row r="2" ht="20" customHeight="1">
      <c r="A2" s="2" t="inlineStr">
        <is>
          <t>Software Subscriptions</t>
        </is>
      </c>
      <c r="B2" s="3" t="n">
        <v>1200000</v>
      </c>
      <c r="C2" s="3" t="n">
        <v>1450000</v>
      </c>
      <c r="D2" s="3" t="n">
        <v>1800000</v>
      </c>
      <c r="E2" s="3" t="n">
        <v>2100000</v>
      </c>
      <c r="F2" s="2">
        <f>SUM(B2:E2)</f>
        <v/>
      </c>
    </row>
    <row r="3" ht="20" customHeight="1">
      <c r="A3" s="2" t="inlineStr">
        <is>
          <t>Robotics Hardware Sales</t>
        </is>
      </c>
      <c r="B3" s="3" t="n">
        <v>800000</v>
      </c>
      <c r="C3" s="3" t="n">
        <v>950000</v>
      </c>
      <c r="D3" s="3" t="n">
        <v>1100000</v>
      </c>
      <c r="E3" s="3" t="n">
        <v>1300000</v>
      </c>
      <c r="F3" s="2">
        <f>SUM(B3:E3)</f>
        <v/>
      </c>
    </row>
    <row r="4" ht="20" customHeight="1">
      <c r="A4" s="2" t="inlineStr">
        <is>
          <t>Professional Consulting</t>
        </is>
      </c>
      <c r="B4" s="3" t="n">
        <v>150000</v>
      </c>
      <c r="C4" s="3" t="n">
        <v>175000</v>
      </c>
      <c r="D4" s="3" t="n">
        <v>190000</v>
      </c>
      <c r="E4" s="3" t="n">
        <v>220000</v>
      </c>
      <c r="F4" s="2">
        <f>SUM(B4:E4)</f>
        <v/>
      </c>
    </row>
    <row r="5" ht="20" customHeight="1">
      <c r="A5" s="4" t="inlineStr">
        <is>
          <t>Total Revenue Summary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Department</t>
        </is>
      </c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Q4 2025</t>
        </is>
      </c>
      <c r="F1" s="1" t="inlineStr">
        <is>
          <t>Total OPEX</t>
        </is>
      </c>
    </row>
    <row r="2" ht="20" customHeight="1">
      <c r="A2" s="2" t="inlineStr">
        <is>
          <t>Research &amp; Development (R&amp;D)</t>
        </is>
      </c>
      <c r="B2" s="3" t="n">
        <v>450000</v>
      </c>
      <c r="C2" s="3" t="n">
        <v>480000</v>
      </c>
      <c r="D2" s="3" t="n">
        <v>520000</v>
      </c>
      <c r="E2" s="3" t="n">
        <v>550000</v>
      </c>
      <c r="F2" s="2">
        <f>SUM(B2:E2)</f>
        <v/>
      </c>
    </row>
    <row r="3" ht="20" customHeight="1">
      <c r="A3" s="2" t="inlineStr">
        <is>
          <t>Sales &amp; Marketing (S&amp;M)</t>
        </is>
      </c>
      <c r="B3" s="3" t="n">
        <v>550000</v>
      </c>
      <c r="C3" s="3" t="n">
        <v>620000</v>
      </c>
      <c r="D3" s="3" t="n">
        <v>700000</v>
      </c>
      <c r="E3" s="3" t="n">
        <v>750000</v>
      </c>
      <c r="F3" s="2">
        <f>SUM(B3:E3)</f>
        <v/>
      </c>
    </row>
    <row r="4" ht="20" customHeight="1">
      <c r="A4" s="2" t="inlineStr">
        <is>
          <t>General &amp; Administrative (G&amp;A)</t>
        </is>
      </c>
      <c r="B4" s="3" t="n">
        <v>220000</v>
      </c>
      <c r="C4" s="3" t="n">
        <v>230000</v>
      </c>
      <c r="D4" s="3" t="n">
        <v>245000</v>
      </c>
      <c r="E4" s="3" t="n">
        <v>255000</v>
      </c>
      <c r="F4" s="2">
        <f>SUM(B4:E4)</f>
        <v/>
      </c>
    </row>
    <row r="5" ht="20" customHeight="1">
      <c r="A5" s="4" t="inlineStr">
        <is>
          <t>Total OPEX Details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  <c r="F5" s="4">
        <f>SUM(F2:F4)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5" customHeight="1">
      <c r="A1" s="1" t="inlineStr">
        <is>
          <t>Metric / CAPEX Item</t>
        </is>
      </c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Q4 2025</t>
        </is>
      </c>
      <c r="F1" s="1" t="inlineStr">
        <is>
          <t>Full Year</t>
        </is>
      </c>
    </row>
    <row r="2" ht="20" customHeight="1">
      <c r="A2" s="2" t="inlineStr">
        <is>
          <t>Manufacturing Equipment</t>
        </is>
      </c>
      <c r="B2" s="3" t="n">
        <v>350000</v>
      </c>
      <c r="C2" s="3" t="n">
        <v>120000</v>
      </c>
      <c r="D2" s="3" t="n">
        <v>80000</v>
      </c>
      <c r="E2" s="3" t="n">
        <v>400000</v>
      </c>
      <c r="F2" s="2">
        <f>SUM(B2:E2)</f>
        <v/>
      </c>
    </row>
    <row r="3" ht="20" customHeight="1">
      <c r="A3" s="2" t="inlineStr">
        <is>
          <t>Facility Logistics Upgrades</t>
        </is>
      </c>
      <c r="B3" s="3" t="n">
        <v>150000</v>
      </c>
      <c r="C3" s="3" t="n">
        <v>90000</v>
      </c>
      <c r="D3" s="3" t="n">
        <v>50000</v>
      </c>
      <c r="E3" s="3" t="n">
        <v>250000</v>
      </c>
      <c r="F3" s="2">
        <f>SUM(B3:E3)</f>
        <v/>
      </c>
    </row>
    <row r="4" ht="20" customHeight="1">
      <c r="A4" s="4" t="inlineStr">
        <is>
          <t>Total CAPEX Spending</t>
        </is>
      </c>
      <c r="B4" s="4">
        <f>SUM(B2:B3)</f>
        <v/>
      </c>
      <c r="C4" s="4">
        <f>SUM(C2:C3)</f>
        <v/>
      </c>
      <c r="D4" s="4">
        <f>SUM(D2:D3)</f>
        <v/>
      </c>
      <c r="E4" s="4">
        <f>SUM(E2:E3)</f>
        <v/>
      </c>
      <c r="F4" s="4">
        <f>SUM(F2:F3)</f>
        <v/>
      </c>
    </row>
    <row r="5" ht="20" customHeight="1">
      <c r="A5" s="4" t="inlineStr">
        <is>
          <t>Gross Margin %</t>
        </is>
      </c>
      <c r="B5" s="5" t="n">
        <v>0.65</v>
      </c>
      <c r="C5" s="5" t="n">
        <v>0.67</v>
      </c>
      <c r="D5" s="5" t="n">
        <v>0.6899999999999999</v>
      </c>
      <c r="E5" s="5" t="n">
        <v>0.71</v>
      </c>
      <c r="F5" s="4">
        <f>AVERAGE(B5:E5)</f>
        <v/>
      </c>
    </row>
    <row r="6" ht="20" customHeight="1">
      <c r="A6" s="2" t="inlineStr">
        <is>
          <t>Operating Margin %</t>
        </is>
      </c>
      <c r="B6" s="6" t="n">
        <v>0.18</v>
      </c>
      <c r="C6" s="6" t="n">
        <v>0.2</v>
      </c>
      <c r="D6" s="6" t="n">
        <v>0.22</v>
      </c>
      <c r="E6" s="6" t="n">
        <v>0.25</v>
      </c>
      <c r="F6" s="2">
        <f>AVERAGE(B6:E6)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2026-07-02T19:11:27Z</dcterms:created>
  <dcterms:modified xmlns:dcterms="http://purl.org/dc/terms/" xmlns:xsi="http://www.w3.org/2001/XMLSchema-instance" xsi:type="dcterms:W3CDTF">2026-07-02T19:11:27Z</dcterms:modified>
</cp:coreProperties>
</file>